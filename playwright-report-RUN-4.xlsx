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📊 Ringkasan" state="visible" r:id="rId4"/>
    <sheet sheetId="2" name="📋 Daftar Test Case" state="visible" r:id="rId5"/>
    <sheet sheetId="3" name="🔍 Detail Langkah" state="visible" r:id="rId6"/>
    <sheet sheetId="4" name="🐛 Bug &amp; Failure Log" state="visible" r:id="rId7"/>
    <sheet sheetId="5" name="📖 Panduan" state="visible" r:id="rId8"/>
  </sheets>
  <calcPr calcId="171027"/>
</workbook>
</file>

<file path=xl/sharedStrings.xml><?xml version="1.0" encoding="utf-8"?>
<sst xmlns="http://schemas.openxmlformats.org/spreadsheetml/2006/main" count="234" uniqueCount="160">
  <si>
    <t>🎯  PLAYWRIGHT TEST REPORT — TEMPLATE UMUM</t>
  </si>
  <si>
    <t>Isi kolom kuning ▶  sesuai data hasil pengujian Anda</t>
  </si>
  <si>
    <t>❌ ADA KEGAGALAN — 1 dari 2 test gagal</t>
  </si>
  <si>
    <t>STATISTIK PENGUJIAN</t>
  </si>
  <si>
    <t>📋 Total Test</t>
  </si>
  <si>
    <t>✅ Passed</t>
  </si>
  <si>
    <t>❌ Failed</t>
  </si>
  <si>
    <t>⏭️ Skipped</t>
  </si>
  <si>
    <t>⚠️ Flaky</t>
  </si>
  <si>
    <t>⏱️ Durasi Total</t>
  </si>
  <si>
    <t>🔧 Workers</t>
  </si>
  <si>
    <t>62.6s</t>
  </si>
  <si>
    <t>INFORMASI EKSEKUSI</t>
  </si>
  <si>
    <t>Nama Proyek / Aplikasi</t>
  </si>
  <si>
    <t>QA Automation Hub (Playwright)</t>
  </si>
  <si>
    <t>Tanggal &amp; Waktu Mulai</t>
  </si>
  <si>
    <t>3/5/2026, 15.29.32</t>
  </si>
  <si>
    <t>Environment (Staging / Production / Dev)</t>
  </si>
  <si>
    <t>Staging</t>
  </si>
  <si>
    <t>Browser yang Digunakan</t>
  </si>
  <si>
    <t>Chromium</t>
  </si>
  <si>
    <t>Versi Aplikasi / Build</t>
  </si>
  <si>
    <t>Build RUN-4</t>
  </si>
  <si>
    <t>Dijalankan Oleh (nama / sistem CI)</t>
  </si>
  <si>
    <t>Jenkins CI</t>
  </si>
  <si>
    <t>KESIMPULAN EKSEKUTIF</t>
  </si>
  <si>
    <t>1 dari 2 test gagal (0% berhasil). Lihat sheet Bug &amp; Failure Log untuk detail.</t>
  </si>
  <si>
    <t>ℹ️  Sel dengan latar kuning = wajib diisi sesuai data pengujian Anda</t>
  </si>
  <si>
    <t>📋  DAFTAR TEST CASE</t>
  </si>
  <si>
    <t>💡 Cara penggunaan: Tambahkan baris baru di bawah baris terakhir data — ikuti format yang sama. Kolom STATUS gunakan: PASSED / FAILED / SKIPPED / FLAKY (huruf kapital). Rekap &amp; Legenda ada di panel kanan →</t>
  </si>
  <si>
    <t>TC ID</t>
  </si>
  <si>
    <t>Suite / File</t>
  </si>
  <si>
    <t>Nama Skenario / Test</t>
  </si>
  <si>
    <t>Status</t>
  </si>
  <si>
    <t>Durasi (dtk)</t>
  </si>
  <si>
    <t>Browser</t>
  </si>
  <si>
    <t>Waktu Mulai</t>
  </si>
  <si>
    <t>Catatan</t>
  </si>
  <si>
    <t>📊  REKAP OTOMATIS</t>
  </si>
  <si>
    <t>TC-001</t>
  </si>
  <si>
    <t>auth.setup.ts</t>
  </si>
  <si>
    <t>authenticate</t>
  </si>
  <si>
    <t>FAILED</t>
  </si>
  <si>
    <t>setup</t>
  </si>
  <si>
    <t>3/5/2026, 15.29.33</t>
  </si>
  <si>
    <t>[31mTest timeout of 60000ms exceeded.[39m</t>
  </si>
  <si>
    <t>Total Test</t>
  </si>
  <si>
    <t>TC-002</t>
  </si>
  <si>
    <t>okr-create.spec.ts</t>
  </si>
  <si>
    <t>should create a new objective with a key result</t>
  </si>
  <si>
    <t>SKIPPED</t>
  </si>
  <si>
    <t>chromium</t>
  </si>
  <si>
    <t/>
  </si>
  <si>
    <t>REKAP HASIL</t>
  </si>
  <si>
    <t>Total PASSED</t>
  </si>
  <si>
    <t>[ deskripsi skenario ]</t>
  </si>
  <si>
    <t>PASSED</t>
  </si>
  <si>
    <t>0.0</t>
  </si>
  <si>
    <t>HH:MM:SS</t>
  </si>
  <si>
    <t>% Keberhasilan</t>
  </si>
  <si>
    <t>Total FAILED</t>
  </si>
  <si>
    <t>⏱️ Durasi Total (dtk)</t>
  </si>
  <si>
    <t>Total SKIPPED</t>
  </si>
  <si>
    <t>Total FLAKY</t>
  </si>
  <si>
    <t>0%</t>
  </si>
  <si>
    <t>🏷️  LEGENDA STATUS</t>
  </si>
  <si>
    <t>➕  Tambahkan baris baru di sini — salin format baris di atas</t>
  </si>
  <si>
    <t>✅ PASSED</t>
  </si>
  <si>
    <t>Test berhasil — fitur bekerja sesuai harapan</t>
  </si>
  <si>
    <t>❌ FAILED</t>
  </si>
  <si>
    <t>Test gagal — ada bug yang perlu diperbaiki</t>
  </si>
  <si>
    <t>⏭️ SKIPPED</t>
  </si>
  <si>
    <t>Test dilewati — sengaja tidak dijalankan sementara</t>
  </si>
  <si>
    <t>⚠️ FLAKY</t>
  </si>
  <si>
    <t>Tidak stabil — kadang lulus, kadang gagal</t>
  </si>
  <si>
    <t>🔍  DETAIL LANGKAH PER TEST CASE</t>
  </si>
  <si>
    <t>💡 Cara penggunaan: Salin satu blok TC (baris header gelap + baris langkah) untuk setiap test case baru. Tambahkan langkah sebanyak yang diperlukan — tidak ada batas jumlah langkah per TC.</t>
  </si>
  <si>
    <t>TC-001  ·  authenticate  ·  ⏱ 61.5s</t>
  </si>
  <si>
    <t>No.</t>
  </si>
  <si>
    <t>Aksi / Langkah yang Dilakukan</t>
  </si>
  <si>
    <t>Catatan Error / Detail</t>
  </si>
  <si>
    <t>TC-002  ·  should create a new objective with a key result  ·  ⏱ 0ms</t>
  </si>
  <si>
    <t>🐛  BUG &amp; FAILURE LOG</t>
  </si>
  <si>
    <t>📋 Isi sheet ini HANYA jika ada test FAILED atau FLAKY. Kosongkan jika semua test lulus. Skala prioritas ada di panel kanan →</t>
  </si>
  <si>
    <t>Nama Skenario</t>
  </si>
  <si>
    <t>Pesan Error / Kegagalan</t>
  </si>
  <si>
    <t>Langkah Reproduksi</t>
  </si>
  <si>
    <t>Screenshot / URL</t>
  </si>
  <si>
    <t>Priority</t>
  </si>
  <si>
    <t>🎯  SKALA PRIORITAS BUG</t>
  </si>
  <si>
    <t xml:space="preserve">1. Buka halaman yang diuji
2. Jalankan ulang: auth.setup.ts</t>
  </si>
  <si>
    <t>HIGH</t>
  </si>
  <si>
    <t>🔴 HIGH</t>
  </si>
  <si>
    <t>Fitur utama tidak berfungsi — harus diperbaiki sebelum rilis</t>
  </si>
  <si>
    <t>🟡 MEDIUM</t>
  </si>
  <si>
    <t>Fitur terdampak tapi ada workaround — perbaiki di sprint berikutnya</t>
  </si>
  <si>
    <t>🟢 LOW</t>
  </si>
  <si>
    <t>Masalah kecil / kosmetik — bisa dijadwalkan di backlog</t>
  </si>
  <si>
    <t>📝  KOLOM PANDUAN SINGKAT</t>
  </si>
  <si>
    <t>TC-006</t>
  </si>
  <si>
    <t>[ nama skenario gagal ]</t>
  </si>
  <si>
    <t>[ pesan error / deskripsi kegagalan ]</t>
  </si>
  <si>
    <t>[ langkah reproduksi bug ]</t>
  </si>
  <si>
    <t>[ link screenshot / video ]</t>
  </si>
  <si>
    <t>Samakan dengan ID di sheet Daftar Test Case</t>
  </si>
  <si>
    <t>TC-007</t>
  </si>
  <si>
    <t>Pesan Error</t>
  </si>
  <si>
    <t>Copy paste pesan error dari terminal Playwright</t>
  </si>
  <si>
    <t>TC-008</t>
  </si>
  <si>
    <t>Tulis urutan langkah agar developer bisa ulang bug</t>
  </si>
  <si>
    <t>➕  Tambahkan baris baru di sini sesuai jumlah bug yang ditemukan</t>
  </si>
  <si>
    <t>Upload screenshot ke drive, tempel link-nya di sini</t>
  </si>
  <si>
    <t>Pilih: HIGH / MEDIUM / LOW sesuai dampak ke pengguna</t>
  </si>
  <si>
    <t>📖  PANDUAN PENGGUNAAN TEMPLATE</t>
  </si>
  <si>
    <t>Template ini dirancang untuk digunakan berulang kali di semua jenis pengujian Playwright. Ikuti panduan di bawah agar laporan konsisten dan mudah dibaca semua pihak.</t>
  </si>
  <si>
    <t>LANGKAH PENGISIAN TEMPLATE</t>
  </si>
  <si>
    <t>1. Ringkasan (Sheet 1)</t>
  </si>
  <si>
    <t>Isi sel kuning: statistik, info eksekusi, dan kesimpulan singkat.</t>
  </si>
  <si>
    <t>2. Daftar Test Case (Sheet 2)</t>
  </si>
  <si>
    <t>Tambahkan baris untuk setiap TC. Rekap otomatis ada di panel KANAN tabel.</t>
  </si>
  <si>
    <t>3. Detail Langkah (Sheet 3)</t>
  </si>
  <si>
    <t>Salin satu blok TC untuk setiap test. Isi langkah dan statusnya.</t>
  </si>
  <si>
    <t>4. Bug Log (Sheet 4)</t>
  </si>
  <si>
    <t>Isi HANYA jika ada FAILED/FLAKY. Panduan &amp; prioritas ada di panel KANAN.</t>
  </si>
  <si>
    <t>5. Simpan &amp; Bagikan</t>
  </si>
  <si>
    <t>Simpan: [NamaProyek]_[Tanggal]_TestReport.xlsx — bagikan ke stakeholder.</t>
  </si>
  <si>
    <t>ATURAN PENGISIAN</t>
  </si>
  <si>
    <t>Sel Kuning 🟡</t>
  </si>
  <si>
    <t>Wajib diisi sesuai data run terbaru.</t>
  </si>
  <si>
    <t>Gunakan format konsisten: TC-001, TC-002, dst.</t>
  </si>
  <si>
    <t>Tulis: PASSED / FAILED / SKIPPED / FLAKY — huruf kapital semua.</t>
  </si>
  <si>
    <t>Durasi</t>
  </si>
  <si>
    <t>Isi dalam angka detik saja. Contoh: 7.6</t>
  </si>
  <si>
    <t>Rekap &amp; Legenda</t>
  </si>
  <si>
    <t>Selalu ada di kolom KANAN tabel — tidak tertutup saat data bertambah.</t>
  </si>
  <si>
    <t>ARTI STATUS TEST</t>
  </si>
  <si>
    <t>Test berhasil — fitur bekerja sesuai yang diharapkan.</t>
  </si>
  <si>
    <t>Test gagal — ditemukan bug yang perlu diperbaiki.</t>
  </si>
  <si>
    <t>Test dilewati — sengaja tidak dijalankan sementara.</t>
  </si>
  <si>
    <t>Tidak stabil — kadang lulus, kadang gagal tanpa perubahan kode.</t>
  </si>
  <si>
    <t>APA ITU PLAYWRIGHT?</t>
  </si>
  <si>
    <t>Playwright</t>
  </si>
  <si>
    <t>Alat pengujian otomatis yang meniru tindakan pengguna nyata di browser.</t>
  </si>
  <si>
    <t>Test Case</t>
  </si>
  <si>
    <t>Satu skenario pengujian. Contoh: 'Login ke aplikasi' = 1 TC.</t>
  </si>
  <si>
    <t>Test Suite</t>
  </si>
  <si>
    <t>Kumpulan beberapa TC dalam satu file, biasanya untuk satu modul/fitur.</t>
  </si>
  <si>
    <t>Auth Setup</t>
  </si>
  <si>
    <t>Langkah login persiapan sebelum test utama — dijalankan paling pertama.</t>
  </si>
  <si>
    <t>Worker</t>
  </si>
  <si>
    <t>Jumlah proses paralel. 1 worker = test berjalan satu per satu.</t>
  </si>
  <si>
    <t>TIPS UNTUK NON-TEKNIS</t>
  </si>
  <si>
    <t>Cek cepat kondisi</t>
  </si>
  <si>
    <t>Lihat Sheet 1 — jika Failed = 0 dan ada ✅, sistem aman.</t>
  </si>
  <si>
    <t>Ada yang FAILED?</t>
  </si>
  <si>
    <t>Buka Sheet 4 — lihat kolom Priority. Sampaikan HIGH ke developer segera.</t>
  </si>
  <si>
    <t>Istilah membingungkan?</t>
  </si>
  <si>
    <t>Semua sudah dijelaskan di sheet ini.</t>
  </si>
  <si>
    <t>Frekuensi laporan</t>
  </si>
  <si>
    <t>Buat laporan setiap ada deploy/perubahan kode atau sesuai jadwal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</si>
</sst>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00FFFFFF"/>
      <sz val="18"/>
      <name val="Arial"/>
    </font>
    <font>
      <i/>
      <color rgb="00888888"/>
      <sz val="10"/>
      <name val="Arial"/>
    </font>
    <font>
      <b/>
      <color rgb="FFCF222E"/>
    </font>
    <font>
      <b/>
      <color rgb="00FFFFFF"/>
      <sz val="11"/>
      <name val="Arial"/>
    </font>
    <font>
      <b/>
      <color rgb="001B4F8A"/>
      <sz val="9"/>
      <name val="Arial"/>
    </font>
    <font>
      <b/>
      <color rgb="001A7A4A"/>
      <sz val="9"/>
      <name val="Arial"/>
    </font>
    <font>
      <b/>
      <color rgb="00C0392B"/>
      <sz val="9"/>
      <name val="Arial"/>
    </font>
    <font>
      <b/>
      <color rgb="00D4AC0D"/>
      <sz val="9"/>
      <name val="Arial"/>
    </font>
    <font>
      <b/>
      <color rgb="006C3483"/>
      <sz val="9"/>
      <name val="Arial"/>
    </font>
    <font>
      <b/>
      <color rgb="002980B9"/>
      <sz val="9"/>
      <name val="Arial"/>
    </font>
    <font>
      <b/>
      <color rgb="002C3E50"/>
      <sz val="9"/>
      <name val="Arial"/>
    </font>
    <font>
      <color rgb="FF000000"/>
    </font>
    <font>
      <b/>
      <color rgb="001B4F8A"/>
      <sz val="10"/>
      <name val="Arial"/>
    </font>
    <font>
      <b/>
      <color rgb="00FFFFFF"/>
      <sz val="10"/>
      <name val="Arial"/>
    </font>
    <font>
      <b/>
      <color rgb="00FFFFFF"/>
      <sz val="16"/>
      <name val="Arial"/>
    </font>
    <font>
      <i/>
      <color rgb="001B4F8A"/>
      <sz val="10"/>
      <name val="Arial"/>
    </font>
    <font>
      <b/>
      <color rgb="FF000000"/>
    </font>
    <font>
      <b/>
      <color rgb="001B4F8A"/>
      <sz val="11"/>
      <name val="Arial"/>
    </font>
    <font>
      <b/>
      <color rgb="00F39C12"/>
      <sz val="10"/>
      <name val="Arial"/>
    </font>
    <font>
      <b/>
      <color rgb="001A7A4A"/>
      <sz val="10"/>
      <name val="Arial"/>
    </font>
    <font>
      <color rgb="00555555"/>
      <sz val="10"/>
      <name val="Arial"/>
    </font>
    <font>
      <b/>
      <color rgb="00C0392B"/>
      <sz val="10"/>
      <name val="Arial"/>
    </font>
    <font>
      <b/>
      <color rgb="00D4AC0D"/>
      <sz val="10"/>
      <name val="Arial"/>
    </font>
    <font>
      <b/>
      <color rgb="006C3483"/>
      <sz val="10"/>
      <name val="Arial"/>
    </font>
    <font>
      <b/>
      <color rgb="FFFFFFFF"/>
    </font>
    <font>
      <b/>
      <color rgb="00F39C12"/>
      <sz val="11"/>
      <name val="Arial"/>
    </font>
    <font>
      <i/>
      <color rgb="00C0392B"/>
      <sz val="10"/>
      <name val="Arial"/>
    </font>
    <font>
      <b/>
      <color rgb="002980B9"/>
      <sz val="10"/>
      <name val="Arial"/>
    </font>
  </fonts>
  <fills count="24">
    <fill>
      <patternFill patternType="none"/>
    </fill>
    <fill>
      <patternFill patternType="gray125"/>
    </fill>
    <fill>
      <patternFill patternType="solid">
        <fgColor rgb="001B4F8A"/>
      </patternFill>
    </fill>
    <fill>
      <patternFill patternType="solid">
        <fgColor rgb="00F0F4FA"/>
      </patternFill>
    </fill>
    <fill>
      <patternFill patternType="solid">
        <fgColor rgb="00888888"/>
      </patternFill>
    </fill>
    <fill>
      <patternFill patternType="solid">
        <fgColor rgb="00EAF2FB"/>
      </patternFill>
    </fill>
    <fill>
      <patternFill patternType="solid">
        <fgColor rgb="00D6F0E0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1A7A4A"/>
      </patternFill>
    </fill>
    <fill>
      <patternFill patternType="solid">
        <fgColor rgb="00C0392B"/>
      </patternFill>
    </fill>
    <fill>
      <patternFill patternType="solid">
        <fgColor rgb="00D4AC0D"/>
      </patternFill>
    </fill>
    <fill>
      <patternFill patternType="solid">
        <fgColor rgb="006C3483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F39C12"/>
      </patternFill>
    </fill>
    <fill>
      <patternFill patternType="solid">
        <fgColor rgb="FFDAE3F3"/>
      </patternFill>
    </fill>
    <fill>
      <patternFill patternType="solid">
        <fgColor rgb="FFFFFF00"/>
      </patternFill>
    </fill>
    <fill>
      <patternFill patternType="solid">
        <fgColor rgb="00FFFFFF"/>
      </patternFill>
    </fill>
    <fill>
      <patternFill patternType="solid">
        <fgColor rgb="FF4472C4"/>
      </patternFill>
    </fill>
    <fill>
      <patternFill patternType="solid">
        <fgColor rgb="FFFF666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3" fillId="5" borderId="3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12" fillId="11" borderId="3" xfId="0" applyFont="1" applyFill="1" applyBorder="1" applyAlignment="1">
      <alignment horizontal="left" vertical="center" wrapText="1"/>
    </xf>
    <xf numFmtId="0" fontId="14" fillId="1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5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18" fillId="21" borderId="3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left" vertical="center"/>
    </xf>
    <xf numFmtId="0" fontId="22" fillId="7" borderId="3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5" fillId="22" borderId="0" xfId="0" applyFont="1" applyFill="1" applyAlignment="1">
      <alignment horizontal="left" vertical="center"/>
    </xf>
    <xf numFmtId="0" fontId="17" fillId="19" borderId="4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left" vertical="center"/>
    </xf>
    <xf numFmtId="0" fontId="26" fillId="8" borderId="5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27" fillId="7" borderId="3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3" fillId="23" borderId="4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left" vertical="center"/>
    </xf>
    <xf numFmtId="0" fontId="28" fillId="5" borderId="3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left" vertical="center"/>
    </xf>
    <xf numFmtId="0" fontId="24" fillId="9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B4F8A"/>
    <outlinePr summaryBelow="1" summaryRight="1"/>
  </sheetPr>
  <dimension ref="B1:H23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26" customWidth="1"/>
    <col min="3" max="8" width="16" customWidth="1"/>
  </cols>
  <sheetData>
    <row r="1" ht="10" customHeight="1" x14ac:dyDescent="0.25"/>
    <row r="2" ht="48" customHeight="1" spans="2:8" x14ac:dyDescent="0.25">
      <c r="B2" s="1" t="s">
        <v>0</v>
      </c>
      <c r="C2"/>
      <c r="D2"/>
      <c r="E2"/>
      <c r="F2"/>
      <c r="G2"/>
      <c r="H2"/>
    </row>
    <row r="3" ht="20" customHeight="1" spans="2:8" x14ac:dyDescent="0.25">
      <c r="B3" s="2" t="s">
        <v>1</v>
      </c>
      <c r="C3"/>
      <c r="D3"/>
      <c r="E3"/>
      <c r="F3"/>
      <c r="G3"/>
      <c r="H3"/>
    </row>
    <row r="4" ht="8" customHeight="1" x14ac:dyDescent="0.25"/>
    <row r="5" ht="36" customHeight="1" spans="2:8" x14ac:dyDescent="0.25">
      <c r="B5" s="3" t="s">
        <v>2</v>
      </c>
      <c r="C5"/>
      <c r="D5"/>
      <c r="E5"/>
      <c r="F5"/>
      <c r="G5"/>
      <c r="H5"/>
    </row>
    <row r="6" ht="8" customHeight="1" x14ac:dyDescent="0.25"/>
    <row r="7" ht="22" customHeight="1" spans="2:8" x14ac:dyDescent="0.25">
      <c r="B7" s="4" t="s">
        <v>3</v>
      </c>
      <c r="C7"/>
      <c r="D7"/>
      <c r="E7"/>
      <c r="F7"/>
      <c r="G7"/>
      <c r="H7"/>
    </row>
    <row r="8" ht="18" customHeight="1" spans="2:8" x14ac:dyDescent="0.25">
      <c r="B8" s="5" t="s">
        <v>4</v>
      </c>
      <c r="C8" s="6" t="s">
        <v>5</v>
      </c>
      <c r="D8" s="7" t="s">
        <v>6</v>
      </c>
      <c r="E8" s="8" t="s">
        <v>7</v>
      </c>
      <c r="F8" s="9" t="s">
        <v>8</v>
      </c>
      <c r="G8" s="10" t="s">
        <v>9</v>
      </c>
      <c r="H8" s="11" t="s">
        <v>10</v>
      </c>
    </row>
    <row r="9" ht="36" customHeight="1" spans="2:8" x14ac:dyDescent="0.25">
      <c r="B9" s="12">
        <v>2</v>
      </c>
      <c r="C9" s="12">
        <v>0</v>
      </c>
      <c r="D9" s="12">
        <v>1</v>
      </c>
      <c r="E9" s="12">
        <v>1</v>
      </c>
      <c r="F9" s="12">
        <v>0</v>
      </c>
      <c r="G9" s="12" t="s">
        <v>11</v>
      </c>
      <c r="H9" s="12">
        <v>1</v>
      </c>
    </row>
    <row r="10" ht="6" customHeight="1" spans="2:8" x14ac:dyDescent="0.25">
      <c r="B10" s="13"/>
      <c r="C10" s="14"/>
      <c r="D10" s="15"/>
      <c r="E10" s="16"/>
      <c r="F10" s="17"/>
      <c r="G10" s="18"/>
      <c r="H10" s="19"/>
    </row>
    <row r="11" ht="8" customHeight="1" x14ac:dyDescent="0.25"/>
    <row r="12" ht="22" customHeight="1" spans="2:8" x14ac:dyDescent="0.25">
      <c r="B12" s="4" t="s">
        <v>12</v>
      </c>
      <c r="C12"/>
      <c r="D12"/>
      <c r="E12"/>
      <c r="F12"/>
      <c r="G12"/>
      <c r="H12"/>
    </row>
    <row r="13" ht="22" customHeight="1" spans="2:8" x14ac:dyDescent="0.25">
      <c r="B13" s="20" t="s">
        <v>13</v>
      </c>
      <c r="C13" s="21" t="s">
        <v>14</v>
      </c>
      <c r="D13"/>
      <c r="E13"/>
      <c r="F13"/>
      <c r="G13"/>
      <c r="H13"/>
    </row>
    <row r="14" ht="22" customHeight="1" spans="2:8" x14ac:dyDescent="0.25">
      <c r="B14" s="20" t="s">
        <v>15</v>
      </c>
      <c r="C14" s="21" t="s">
        <v>16</v>
      </c>
      <c r="D14"/>
      <c r="E14"/>
      <c r="F14"/>
      <c r="G14"/>
      <c r="H14"/>
    </row>
    <row r="15" ht="22" customHeight="1" spans="2:8" x14ac:dyDescent="0.25">
      <c r="B15" s="20" t="s">
        <v>17</v>
      </c>
      <c r="C15" s="21" t="s">
        <v>18</v>
      </c>
      <c r="D15"/>
      <c r="E15"/>
      <c r="F15"/>
      <c r="G15"/>
      <c r="H15"/>
    </row>
    <row r="16" ht="22" customHeight="1" spans="2:8" x14ac:dyDescent="0.25">
      <c r="B16" s="20" t="s">
        <v>19</v>
      </c>
      <c r="C16" s="21" t="s">
        <v>20</v>
      </c>
      <c r="D16"/>
      <c r="E16"/>
      <c r="F16"/>
      <c r="G16"/>
      <c r="H16"/>
    </row>
    <row r="17" ht="22" customHeight="1" spans="2:8" x14ac:dyDescent="0.25">
      <c r="B17" s="20" t="s">
        <v>21</v>
      </c>
      <c r="C17" s="21" t="s">
        <v>22</v>
      </c>
      <c r="D17"/>
      <c r="E17"/>
      <c r="F17"/>
      <c r="G17"/>
      <c r="H17"/>
    </row>
    <row r="18" ht="22" customHeight="1" spans="2:8" x14ac:dyDescent="0.25">
      <c r="B18" s="20" t="s">
        <v>23</v>
      </c>
      <c r="C18" s="21" t="s">
        <v>24</v>
      </c>
      <c r="D18"/>
      <c r="E18"/>
      <c r="F18"/>
      <c r="G18"/>
      <c r="H18"/>
    </row>
    <row r="19" ht="8" customHeight="1" x14ac:dyDescent="0.25"/>
    <row r="20" ht="22" customHeight="1" spans="2:8" x14ac:dyDescent="0.25">
      <c r="B20" s="4" t="s">
        <v>25</v>
      </c>
      <c r="C20"/>
      <c r="D20"/>
      <c r="E20"/>
      <c r="F20"/>
      <c r="G20"/>
      <c r="H20"/>
    </row>
    <row r="21" ht="60" customHeight="1" spans="2:8" x14ac:dyDescent="0.25">
      <c r="B21" s="22" t="s">
        <v>26</v>
      </c>
      <c r="C21"/>
      <c r="D21"/>
      <c r="E21"/>
      <c r="F21"/>
      <c r="G21"/>
      <c r="H21"/>
    </row>
    <row r="22" ht="8" customHeight="1" x14ac:dyDescent="0.25"/>
    <row r="23" ht="20" customHeight="1" spans="2:8" x14ac:dyDescent="0.25">
      <c r="B23" s="23" t="s">
        <v>27</v>
      </c>
      <c r="C23"/>
      <c r="D23"/>
      <c r="E23"/>
      <c r="F23"/>
      <c r="G23"/>
      <c r="H23"/>
    </row>
  </sheetData>
  <mergeCells count="14">
    <mergeCell ref="B2:H2"/>
    <mergeCell ref="B3:H3"/>
    <mergeCell ref="B5:H5"/>
    <mergeCell ref="B7:H7"/>
    <mergeCell ref="B12:H12"/>
    <mergeCell ref="C13:H13"/>
    <mergeCell ref="C14:H14"/>
    <mergeCell ref="C15:H15"/>
    <mergeCell ref="C16:H16"/>
    <mergeCell ref="C17:H17"/>
    <mergeCell ref="C18:H18"/>
    <mergeCell ref="B20:H20"/>
    <mergeCell ref="B21:H2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A7A4A"/>
    <outlinePr summaryBelow="1" summaryRight="1"/>
  </sheetPr>
  <dimension ref="B1:L2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0" customWidth="1"/>
    <col min="3" max="3" width="22" customWidth="1"/>
    <col min="4" max="4" width="40" customWidth="1"/>
    <col min="5" max="5" width="14" customWidth="1"/>
    <col min="6" max="6" width="18" customWidth="1"/>
    <col min="7" max="7" width="16" customWidth="1"/>
    <col min="8" max="8" width="22" customWidth="1"/>
    <col min="9" max="9" width="30" customWidth="1"/>
    <col min="10" max="10" width="3" customWidth="1"/>
    <col min="11" max="11" width="22" customWidth="1"/>
    <col min="12" max="12" width="42" customWidth="1"/>
    <col min="13" max="13" width="3" customWidth="1"/>
  </cols>
  <sheetData>
    <row r="1" ht="10" customHeight="1" x14ac:dyDescent="0.25"/>
    <row r="2" ht="42" customHeight="1" spans="2:9" x14ac:dyDescent="0.25">
      <c r="B2" s="24" t="s">
        <v>28</v>
      </c>
      <c r="C2"/>
      <c r="D2"/>
      <c r="E2"/>
      <c r="F2"/>
      <c r="G2"/>
      <c r="H2"/>
      <c r="I2"/>
    </row>
    <row r="3" ht="6" customHeight="1" x14ac:dyDescent="0.25"/>
    <row r="4" ht="40" customHeight="1" spans="2:9" x14ac:dyDescent="0.25">
      <c r="B4" s="25" t="s">
        <v>29</v>
      </c>
      <c r="C4"/>
      <c r="D4"/>
      <c r="E4"/>
      <c r="F4"/>
      <c r="G4"/>
      <c r="H4"/>
      <c r="I4"/>
    </row>
    <row r="5" ht="6" customHeight="1" x14ac:dyDescent="0.25"/>
    <row r="6" ht="28" customHeight="1" spans="2:12" x14ac:dyDescent="0.25">
      <c r="B6" s="26" t="s">
        <v>30</v>
      </c>
      <c r="C6" s="26" t="s">
        <v>31</v>
      </c>
      <c r="D6" s="26" t="s">
        <v>32</v>
      </c>
      <c r="E6" s="26" t="s">
        <v>33</v>
      </c>
      <c r="F6" s="26" t="s">
        <v>34</v>
      </c>
      <c r="G6" s="26" t="s">
        <v>35</v>
      </c>
      <c r="H6" s="26" t="s">
        <v>36</v>
      </c>
      <c r="I6" s="26" t="s">
        <v>37</v>
      </c>
      <c r="K6" s="4" t="s">
        <v>38</v>
      </c>
      <c r="L6"/>
    </row>
    <row r="7" ht="24" customHeight="1" spans="2:12" x14ac:dyDescent="0.25">
      <c r="B7" s="27" t="s">
        <v>39</v>
      </c>
      <c r="C7" s="21" t="s">
        <v>40</v>
      </c>
      <c r="D7" s="21" t="s">
        <v>41</v>
      </c>
      <c r="E7" s="28" t="s">
        <v>42</v>
      </c>
      <c r="F7" s="27">
        <v>61.5</v>
      </c>
      <c r="G7" s="27" t="s">
        <v>43</v>
      </c>
      <c r="H7" s="27" t="s">
        <v>44</v>
      </c>
      <c r="I7" s="21" t="s">
        <v>45</v>
      </c>
      <c r="K7" s="20" t="s">
        <v>46</v>
      </c>
      <c r="L7" s="29">
        <f>COUNTA(E7:E1000)</f>
      </c>
    </row>
    <row r="8" ht="24" customHeight="1" spans="2:12" x14ac:dyDescent="0.25">
      <c r="B8" s="27" t="s">
        <v>47</v>
      </c>
      <c r="C8" s="21" t="s">
        <v>48</v>
      </c>
      <c r="D8" s="21" t="s">
        <v>49</v>
      </c>
      <c r="E8" s="28" t="s">
        <v>50</v>
      </c>
      <c r="F8" s="27">
        <v>0</v>
      </c>
      <c r="G8" s="27" t="s">
        <v>51</v>
      </c>
      <c r="H8" s="27" t="s">
        <v>52</v>
      </c>
      <c r="I8" s="21" t="s">
        <v>52</v>
      </c>
      <c r="K8" s="20" t="s">
        <v>5</v>
      </c>
      <c r="L8" s="29">
        <f>COUNTIF(E7:E1000,"PASSED")</f>
      </c>
    </row>
    <row r="9" ht="24" customHeight="1" spans="2:12" x14ac:dyDescent="0.25">
      <c r="B9" s="27"/>
      <c r="C9" s="21"/>
      <c r="D9" s="21"/>
      <c r="E9" s="28"/>
      <c r="F9" s="27"/>
      <c r="G9" s="27"/>
      <c r="H9" s="27"/>
      <c r="I9" s="21"/>
      <c r="K9" s="20" t="s">
        <v>6</v>
      </c>
      <c r="L9" s="29">
        <f>COUNTIF(E7:E1000,"FAILED")</f>
      </c>
    </row>
    <row r="10" ht="24" customHeight="1" spans="2:12" x14ac:dyDescent="0.25">
      <c r="B10" s="27" t="s">
        <v>53</v>
      </c>
      <c r="C10" s="21"/>
      <c r="D10" s="21"/>
      <c r="E10" s="28"/>
      <c r="F10" s="27"/>
      <c r="G10" s="27"/>
      <c r="H10" s="27"/>
      <c r="I10" s="21"/>
      <c r="K10" s="20" t="s">
        <v>7</v>
      </c>
      <c r="L10" s="29">
        <f>COUNTIF(E7:E1000,"SKIPPED")</f>
      </c>
    </row>
    <row r="11" ht="24" customHeight="1" spans="2:12" x14ac:dyDescent="0.25">
      <c r="B11" s="27" t="s">
        <v>46</v>
      </c>
      <c r="C11" s="21">
        <v>2</v>
      </c>
      <c r="D11" s="21"/>
      <c r="E11" s="28"/>
      <c r="F11" s="27"/>
      <c r="G11" s="27"/>
      <c r="H11" s="27"/>
      <c r="I11" s="21"/>
      <c r="K11" s="20" t="s">
        <v>8</v>
      </c>
      <c r="L11" s="29">
        <f>COUNTIF(E7:E1000,"FLAKY")</f>
      </c>
    </row>
    <row r="12" ht="24" customHeight="1" spans="2:12" x14ac:dyDescent="0.25">
      <c r="B12" s="27" t="s">
        <v>54</v>
      </c>
      <c r="C12" s="21">
        <v>0</v>
      </c>
      <c r="D12" s="21" t="s">
        <v>55</v>
      </c>
      <c r="E12" s="28" t="s">
        <v>56</v>
      </c>
      <c r="F12" s="27" t="s">
        <v>57</v>
      </c>
      <c r="G12" s="27" t="s">
        <v>51</v>
      </c>
      <c r="H12" s="27" t="s">
        <v>58</v>
      </c>
      <c r="I12" s="21"/>
      <c r="K12" s="20" t="s">
        <v>59</v>
      </c>
      <c r="L12" s="29">
        <f>IFERROR(TEXT(COUNTIF(E7:E1000,"PASSED")/COUNTA(E7:E1000),"0%"),"-")</f>
      </c>
    </row>
    <row r="13" ht="24" customHeight="1" spans="2:12" x14ac:dyDescent="0.25">
      <c r="B13" s="27" t="s">
        <v>60</v>
      </c>
      <c r="C13" s="21">
        <v>1</v>
      </c>
      <c r="D13" s="21" t="s">
        <v>55</v>
      </c>
      <c r="E13" s="28" t="s">
        <v>56</v>
      </c>
      <c r="F13" s="27" t="s">
        <v>57</v>
      </c>
      <c r="G13" s="27" t="s">
        <v>51</v>
      </c>
      <c r="H13" s="27" t="s">
        <v>58</v>
      </c>
      <c r="I13" s="21"/>
      <c r="K13" s="20" t="s">
        <v>61</v>
      </c>
      <c r="L13" s="29">
        <f>IFERROR(SUM(F7:F1000),0)</f>
      </c>
    </row>
    <row r="14" ht="24" customHeight="1" spans="2:9" x14ac:dyDescent="0.25">
      <c r="B14" s="27" t="s">
        <v>62</v>
      </c>
      <c r="C14" s="21">
        <v>1</v>
      </c>
      <c r="D14" s="21" t="s">
        <v>55</v>
      </c>
      <c r="E14" s="28" t="s">
        <v>56</v>
      </c>
      <c r="F14" s="27" t="s">
        <v>57</v>
      </c>
      <c r="G14" s="27" t="s">
        <v>51</v>
      </c>
      <c r="H14" s="27" t="s">
        <v>58</v>
      </c>
      <c r="I14" s="21"/>
    </row>
    <row r="15" ht="8" customHeight="1" spans="2:9" x14ac:dyDescent="0.25">
      <c r="B15" s="27" t="s">
        <v>63</v>
      </c>
      <c r="C15" s="21">
        <v>0</v>
      </c>
      <c r="D15" s="21" t="s">
        <v>55</v>
      </c>
      <c r="E15" s="28" t="s">
        <v>56</v>
      </c>
      <c r="F15" s="27" t="s">
        <v>57</v>
      </c>
      <c r="G15" s="27" t="s">
        <v>51</v>
      </c>
      <c r="H15" s="27" t="s">
        <v>58</v>
      </c>
      <c r="I15" s="21"/>
    </row>
    <row r="16" ht="22" customHeight="1" spans="2:12" x14ac:dyDescent="0.25">
      <c r="B16" s="27" t="s">
        <v>59</v>
      </c>
      <c r="C16" s="21" t="s">
        <v>64</v>
      </c>
      <c r="D16" s="21" t="s">
        <v>55</v>
      </c>
      <c r="E16" s="28" t="s">
        <v>56</v>
      </c>
      <c r="F16" s="27" t="s">
        <v>57</v>
      </c>
      <c r="G16" s="27" t="s">
        <v>51</v>
      </c>
      <c r="H16" s="27" t="s">
        <v>58</v>
      </c>
      <c r="I16" s="21"/>
      <c r="K16" s="30" t="s">
        <v>65</v>
      </c>
      <c r="L16"/>
    </row>
    <row r="17" ht="24" customHeight="1" spans="2:12" x14ac:dyDescent="0.25">
      <c r="B17" s="31" t="s">
        <v>66</v>
      </c>
      <c r="C17"/>
      <c r="D17"/>
      <c r="E17"/>
      <c r="F17"/>
      <c r="G17"/>
      <c r="H17"/>
      <c r="I17"/>
      <c r="K17" s="32" t="s">
        <v>67</v>
      </c>
      <c r="L17" s="33" t="s">
        <v>68</v>
      </c>
    </row>
    <row r="18" ht="24" customHeight="1" spans="11:12" x14ac:dyDescent="0.25">
      <c r="K18" s="34" t="s">
        <v>69</v>
      </c>
      <c r="L18" s="33" t="s">
        <v>70</v>
      </c>
    </row>
    <row r="19" ht="24" customHeight="1" spans="11:12" x14ac:dyDescent="0.25">
      <c r="K19" s="35" t="s">
        <v>71</v>
      </c>
      <c r="L19" s="33" t="s">
        <v>72</v>
      </c>
    </row>
    <row r="20" ht="24" customHeight="1" spans="11:12" x14ac:dyDescent="0.25">
      <c r="K20" s="36" t="s">
        <v>73</v>
      </c>
      <c r="L20" s="33" t="s">
        <v>74</v>
      </c>
    </row>
  </sheetData>
  <mergeCells count="5">
    <mergeCell ref="B2:I2"/>
    <mergeCell ref="B4:I4"/>
    <mergeCell ref="K6:L6"/>
    <mergeCell ref="K16:L16"/>
    <mergeCell ref="B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2980B9"/>
    <outlinePr summaryBelow="1" summaryRight="1"/>
  </sheetPr>
  <dimension ref="B1:F3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2" customWidth="1"/>
    <col min="3" max="3" width="8" customWidth="1"/>
    <col min="4" max="4" width="50" customWidth="1"/>
    <col min="5" max="5" width="14" customWidth="1"/>
    <col min="6" max="6" width="32" customWidth="1"/>
  </cols>
  <sheetData>
    <row r="1" ht="10" customHeight="1" x14ac:dyDescent="0.25"/>
    <row r="2" ht="42" customHeight="1" spans="2:6" x14ac:dyDescent="0.25">
      <c r="B2" s="24" t="s">
        <v>75</v>
      </c>
      <c r="C2"/>
      <c r="D2"/>
      <c r="E2"/>
      <c r="F2"/>
    </row>
    <row r="3" ht="6" customHeight="1" x14ac:dyDescent="0.25"/>
    <row r="4" ht="40" customHeight="1" spans="2:6" x14ac:dyDescent="0.25">
      <c r="B4" s="25" t="s">
        <v>76</v>
      </c>
      <c r="C4"/>
      <c r="D4"/>
      <c r="E4"/>
      <c r="F4"/>
    </row>
    <row r="5" ht="8" customHeight="1" x14ac:dyDescent="0.25"/>
    <row r="6" ht="30" customHeight="1" spans="2:6" x14ac:dyDescent="0.25">
      <c r="B6" s="37" t="s">
        <v>77</v>
      </c>
      <c r="C6"/>
      <c r="D6"/>
      <c r="E6"/>
      <c r="F6"/>
    </row>
    <row r="7" ht="24" customHeight="1" spans="2:6" x14ac:dyDescent="0.25">
      <c r="B7" s="38" t="s">
        <v>30</v>
      </c>
      <c r="C7" s="38" t="s">
        <v>78</v>
      </c>
      <c r="D7" s="38" t="s">
        <v>79</v>
      </c>
      <c r="E7" s="38" t="s">
        <v>33</v>
      </c>
      <c r="F7" s="38" t="s">
        <v>80</v>
      </c>
    </row>
    <row r="8" ht="24" customHeight="1" spans="2:6" x14ac:dyDescent="0.25">
      <c r="B8" s="27" t="s">
        <v>39</v>
      </c>
      <c r="C8" s="27">
        <v>1</v>
      </c>
      <c r="D8" s="39" t="s">
        <v>41</v>
      </c>
      <c r="E8" s="28" t="s">
        <v>42</v>
      </c>
      <c r="F8" s="39" t="s">
        <v>45</v>
      </c>
    </row>
    <row r="9" ht="24" customHeight="1" spans="2:6" x14ac:dyDescent="0.25">
      <c r="B9" s="27"/>
      <c r="C9" s="27"/>
      <c r="D9" s="39"/>
      <c r="E9" s="28"/>
      <c r="F9" s="39"/>
    </row>
    <row r="10" ht="24" customHeight="1" spans="2:6" x14ac:dyDescent="0.25">
      <c r="B10" s="27" t="s">
        <v>81</v>
      </c>
      <c r="C10" s="27"/>
      <c r="D10" s="27"/>
      <c r="E10" s="27"/>
      <c r="F10" s="27"/>
    </row>
    <row r="11" ht="24" customHeight="1" spans="2:6" x14ac:dyDescent="0.25">
      <c r="B11" s="27" t="s">
        <v>30</v>
      </c>
      <c r="C11" s="27" t="s">
        <v>78</v>
      </c>
      <c r="D11" s="39" t="s">
        <v>79</v>
      </c>
      <c r="E11" s="28" t="s">
        <v>33</v>
      </c>
      <c r="F11" s="39" t="s">
        <v>80</v>
      </c>
    </row>
    <row r="12" ht="24" customHeight="1" spans="2:6" x14ac:dyDescent="0.25">
      <c r="B12" s="27" t="s">
        <v>47</v>
      </c>
      <c r="C12" s="27">
        <v>1</v>
      </c>
      <c r="D12" s="39" t="s">
        <v>49</v>
      </c>
      <c r="E12" s="28" t="s">
        <v>50</v>
      </c>
      <c r="F12" s="39" t="s">
        <v>52</v>
      </c>
    </row>
    <row r="13" ht="8" customHeight="1" spans="2:6" x14ac:dyDescent="0.25"/>
    <row r="14" ht="30" customHeight="1" spans="2:6" x14ac:dyDescent="0.25">
      <c r="B14" s="37"/>
      <c r="C14"/>
      <c r="D14"/>
      <c r="E14"/>
      <c r="F14"/>
    </row>
    <row r="15" ht="24" customHeight="1" spans="2:6" x14ac:dyDescent="0.25">
      <c r="B15" s="38"/>
      <c r="C15" s="38"/>
      <c r="D15" s="38"/>
      <c r="E15" s="38"/>
      <c r="F15" s="38"/>
    </row>
    <row r="16" ht="24" customHeight="1" spans="2:6" x14ac:dyDescent="0.25">
      <c r="B16" s="27"/>
      <c r="C16" s="27"/>
      <c r="D16" s="39"/>
      <c r="E16" s="28"/>
      <c r="F16" s="39"/>
    </row>
    <row r="17" ht="24" customHeight="1" spans="2:6" x14ac:dyDescent="0.25">
      <c r="B17" s="27"/>
      <c r="C17" s="27"/>
      <c r="D17" s="39"/>
      <c r="E17" s="28"/>
      <c r="F17" s="39"/>
    </row>
    <row r="18" ht="24" customHeight="1" spans="2:6" x14ac:dyDescent="0.25">
      <c r="B18" s="27"/>
      <c r="C18" s="27"/>
      <c r="D18" s="39"/>
      <c r="E18" s="28"/>
      <c r="F18" s="39"/>
    </row>
    <row r="19" ht="24" customHeight="1" spans="2:6" x14ac:dyDescent="0.25">
      <c r="B19" s="27"/>
      <c r="C19" s="27"/>
      <c r="D19" s="39"/>
      <c r="E19" s="28"/>
      <c r="F19" s="39"/>
    </row>
    <row r="20" ht="24" customHeight="1" spans="2:6" x14ac:dyDescent="0.25">
      <c r="B20" s="27"/>
      <c r="C20" s="27"/>
      <c r="D20" s="39"/>
      <c r="E20" s="28"/>
      <c r="F20" s="39"/>
    </row>
    <row r="21" ht="8" customHeight="1" spans="2:6" x14ac:dyDescent="0.25"/>
    <row r="22" ht="26" customHeight="1" spans="2:6" x14ac:dyDescent="0.25">
      <c r="B22" s="40"/>
      <c r="C22"/>
      <c r="D22"/>
      <c r="E22"/>
      <c r="F22"/>
    </row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</sheetData>
  <mergeCells count="6">
    <mergeCell ref="B2:F2"/>
    <mergeCell ref="B4:F4"/>
    <mergeCell ref="B6:F6"/>
    <mergeCell ref="B10:F10"/>
    <mergeCell ref="B14:F14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0392B"/>
    <outlinePr summaryBelow="1" summaryRight="1"/>
  </sheetPr>
  <dimension ref="B1:L16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0" customWidth="1"/>
    <col min="3" max="3" width="22" customWidth="1"/>
    <col min="4" max="4" width="36" customWidth="1"/>
    <col min="5" max="5" width="14" customWidth="1"/>
    <col min="6" max="6" width="36" customWidth="1"/>
    <col min="7" max="7" width="22" customWidth="1"/>
    <col min="8" max="8" width="16" customWidth="1"/>
    <col min="9" max="10" width="3" customWidth="1"/>
    <col min="11" max="11" width="22" customWidth="1"/>
    <col min="12" max="12" width="42" customWidth="1"/>
    <col min="13" max="13" width="3" customWidth="1"/>
  </cols>
  <sheetData>
    <row r="1" ht="10" customHeight="1" x14ac:dyDescent="0.25"/>
    <row r="2" ht="42" customHeight="1" spans="2:8" x14ac:dyDescent="0.25">
      <c r="B2" s="41" t="s">
        <v>82</v>
      </c>
      <c r="C2"/>
      <c r="D2"/>
      <c r="E2"/>
      <c r="F2"/>
      <c r="G2"/>
      <c r="H2"/>
    </row>
    <row r="3" ht="6" customHeight="1" x14ac:dyDescent="0.25"/>
    <row r="4" ht="40" customHeight="1" spans="2:8" x14ac:dyDescent="0.25">
      <c r="B4" s="42" t="s">
        <v>83</v>
      </c>
      <c r="C4"/>
      <c r="D4"/>
      <c r="E4"/>
      <c r="F4"/>
      <c r="G4"/>
      <c r="H4"/>
    </row>
    <row r="5" ht="6" customHeight="1" x14ac:dyDescent="0.25"/>
    <row r="6" ht="28" customHeight="1" spans="2:12" x14ac:dyDescent="0.25">
      <c r="B6" s="26" t="s">
        <v>30</v>
      </c>
      <c r="C6" s="26" t="s">
        <v>84</v>
      </c>
      <c r="D6" s="26" t="s">
        <v>85</v>
      </c>
      <c r="E6" s="26" t="s">
        <v>33</v>
      </c>
      <c r="F6" s="26" t="s">
        <v>86</v>
      </c>
      <c r="G6" s="26" t="s">
        <v>87</v>
      </c>
      <c r="H6" s="26" t="s">
        <v>88</v>
      </c>
      <c r="K6" s="43" t="s">
        <v>89</v>
      </c>
      <c r="L6"/>
    </row>
    <row r="7" ht="28" customHeight="1" spans="2:12" x14ac:dyDescent="0.25">
      <c r="B7" s="44" t="s">
        <v>39</v>
      </c>
      <c r="C7" s="45" t="s">
        <v>41</v>
      </c>
      <c r="D7" s="45" t="s">
        <v>45</v>
      </c>
      <c r="E7" s="46" t="s">
        <v>42</v>
      </c>
      <c r="F7" s="45" t="s">
        <v>90</v>
      </c>
      <c r="G7" s="45" t="s">
        <v>52</v>
      </c>
      <c r="H7" s="46" t="s">
        <v>91</v>
      </c>
      <c r="K7" s="34" t="s">
        <v>92</v>
      </c>
      <c r="L7" s="47" t="s">
        <v>93</v>
      </c>
    </row>
    <row r="8" ht="28" customHeight="1" spans="2:12" x14ac:dyDescent="0.25">
      <c r="B8" s="44"/>
      <c r="C8" s="45"/>
      <c r="D8" s="45"/>
      <c r="E8" s="46"/>
      <c r="F8" s="45"/>
      <c r="G8" s="45"/>
      <c r="H8" s="46"/>
      <c r="K8" s="35" t="s">
        <v>94</v>
      </c>
      <c r="L8" s="47" t="s">
        <v>95</v>
      </c>
    </row>
    <row r="9" ht="28" customHeight="1" spans="2:12" x14ac:dyDescent="0.25">
      <c r="B9" s="44"/>
      <c r="C9" s="45"/>
      <c r="D9" s="45"/>
      <c r="E9" s="46"/>
      <c r="F9" s="45"/>
      <c r="G9" s="45"/>
      <c r="H9" s="46"/>
      <c r="K9" s="32" t="s">
        <v>96</v>
      </c>
      <c r="L9" s="47" t="s">
        <v>97</v>
      </c>
    </row>
    <row r="10" ht="8" customHeight="1" spans="2:8" x14ac:dyDescent="0.25">
      <c r="B10" s="44"/>
      <c r="C10" s="45"/>
      <c r="D10" s="45"/>
      <c r="E10" s="46"/>
      <c r="F10" s="45"/>
      <c r="G10" s="45"/>
      <c r="H10" s="46"/>
    </row>
    <row r="11" ht="22" customHeight="1" spans="2:12" x14ac:dyDescent="0.25">
      <c r="B11" s="44"/>
      <c r="C11" s="45"/>
      <c r="D11" s="45"/>
      <c r="E11" s="46"/>
      <c r="F11" s="45"/>
      <c r="G11" s="45"/>
      <c r="H11" s="46"/>
      <c r="K11" s="30" t="s">
        <v>98</v>
      </c>
      <c r="L11"/>
    </row>
    <row r="12" ht="28" customHeight="1" spans="2:12" x14ac:dyDescent="0.25">
      <c r="B12" s="44" t="s">
        <v>99</v>
      </c>
      <c r="C12" s="45" t="s">
        <v>100</v>
      </c>
      <c r="D12" s="45" t="s">
        <v>101</v>
      </c>
      <c r="E12" s="46" t="s">
        <v>42</v>
      </c>
      <c r="F12" s="45" t="s">
        <v>102</v>
      </c>
      <c r="G12" s="45" t="s">
        <v>103</v>
      </c>
      <c r="H12" s="46" t="s">
        <v>91</v>
      </c>
      <c r="K12" s="20" t="s">
        <v>30</v>
      </c>
      <c r="L12" s="47" t="s">
        <v>104</v>
      </c>
    </row>
    <row r="13" ht="28" customHeight="1" spans="2:12" x14ac:dyDescent="0.25">
      <c r="B13" s="44" t="s">
        <v>105</v>
      </c>
      <c r="C13" s="45" t="s">
        <v>100</v>
      </c>
      <c r="D13" s="45" t="s">
        <v>101</v>
      </c>
      <c r="E13" s="46" t="s">
        <v>42</v>
      </c>
      <c r="F13" s="45" t="s">
        <v>102</v>
      </c>
      <c r="G13" s="45" t="s">
        <v>103</v>
      </c>
      <c r="H13" s="46" t="s">
        <v>91</v>
      </c>
      <c r="K13" s="20" t="s">
        <v>106</v>
      </c>
      <c r="L13" s="47" t="s">
        <v>107</v>
      </c>
    </row>
    <row r="14" ht="28" customHeight="1" spans="2:12" x14ac:dyDescent="0.25">
      <c r="B14" s="44" t="s">
        <v>108</v>
      </c>
      <c r="C14" s="45" t="s">
        <v>100</v>
      </c>
      <c r="D14" s="45" t="s">
        <v>101</v>
      </c>
      <c r="E14" s="46" t="s">
        <v>42</v>
      </c>
      <c r="F14" s="45" t="s">
        <v>102</v>
      </c>
      <c r="G14" s="45" t="s">
        <v>103</v>
      </c>
      <c r="H14" s="46" t="s">
        <v>91</v>
      </c>
      <c r="K14" s="20" t="s">
        <v>86</v>
      </c>
      <c r="L14" s="47" t="s">
        <v>109</v>
      </c>
    </row>
    <row r="15" ht="28" customHeight="1" spans="2:12" x14ac:dyDescent="0.25">
      <c r="B15" s="31" t="s">
        <v>110</v>
      </c>
      <c r="C15"/>
      <c r="D15"/>
      <c r="E15"/>
      <c r="F15"/>
      <c r="G15"/>
      <c r="H15"/>
      <c r="K15" s="20" t="s">
        <v>87</v>
      </c>
      <c r="L15" s="47" t="s">
        <v>111</v>
      </c>
    </row>
    <row r="16" ht="28" customHeight="1" spans="11:12" x14ac:dyDescent="0.25">
      <c r="K16" s="20" t="s">
        <v>88</v>
      </c>
      <c r="L16" s="47" t="s">
        <v>112</v>
      </c>
    </row>
  </sheetData>
  <mergeCells count="5">
    <mergeCell ref="B2:H2"/>
    <mergeCell ref="B4:H4"/>
    <mergeCell ref="K6:L6"/>
    <mergeCell ref="K11:L11"/>
    <mergeCell ref="B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E44AD"/>
    <outlinePr summaryBelow="1" summaryRight="1"/>
  </sheetPr>
  <dimension ref="B1:C37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26" customWidth="1"/>
    <col min="3" max="3" width="58" customWidth="1"/>
  </cols>
  <sheetData>
    <row r="1" ht="10" customHeight="1" x14ac:dyDescent="0.25"/>
    <row r="2" ht="48" customHeight="1" spans="2:3" x14ac:dyDescent="0.25">
      <c r="B2" s="24" t="s">
        <v>113</v>
      </c>
      <c r="C2"/>
    </row>
    <row r="3" ht="6" customHeight="1" x14ac:dyDescent="0.25"/>
    <row r="4" ht="36" customHeight="1" spans="2:3" x14ac:dyDescent="0.25">
      <c r="B4" s="25" t="s">
        <v>114</v>
      </c>
      <c r="C4"/>
    </row>
    <row r="5" ht="8" customHeight="1" x14ac:dyDescent="0.25"/>
    <row r="6" ht="28" customHeight="1" spans="2:3" x14ac:dyDescent="0.25">
      <c r="B6" s="48" t="s">
        <v>115</v>
      </c>
      <c r="C6"/>
    </row>
    <row r="7" ht="36" customHeight="1" spans="2:3" x14ac:dyDescent="0.25">
      <c r="B7" s="49" t="s">
        <v>116</v>
      </c>
      <c r="C7" s="47" t="s">
        <v>117</v>
      </c>
    </row>
    <row r="8" ht="36" customHeight="1" spans="2:3" x14ac:dyDescent="0.25">
      <c r="B8" s="49" t="s">
        <v>118</v>
      </c>
      <c r="C8" s="47" t="s">
        <v>119</v>
      </c>
    </row>
    <row r="9" ht="36" customHeight="1" spans="2:3" x14ac:dyDescent="0.25">
      <c r="B9" s="49" t="s">
        <v>120</v>
      </c>
      <c r="C9" s="47" t="s">
        <v>121</v>
      </c>
    </row>
    <row r="10" ht="36" customHeight="1" spans="2:3" x14ac:dyDescent="0.25">
      <c r="B10" s="49" t="s">
        <v>122</v>
      </c>
      <c r="C10" s="47" t="s">
        <v>123</v>
      </c>
    </row>
    <row r="11" ht="36" customHeight="1" spans="2:3" x14ac:dyDescent="0.25">
      <c r="B11" s="49" t="s">
        <v>124</v>
      </c>
      <c r="C11" s="47" t="s">
        <v>125</v>
      </c>
    </row>
    <row r="13" ht="28" customHeight="1" spans="2:3" x14ac:dyDescent="0.25">
      <c r="B13" s="50" t="s">
        <v>126</v>
      </c>
      <c r="C13"/>
    </row>
    <row r="14" ht="36" customHeight="1" spans="2:3" x14ac:dyDescent="0.25">
      <c r="B14" s="51" t="s">
        <v>127</v>
      </c>
      <c r="C14" s="47" t="s">
        <v>128</v>
      </c>
    </row>
    <row r="15" ht="36" customHeight="1" spans="2:3" x14ac:dyDescent="0.25">
      <c r="B15" s="51" t="s">
        <v>30</v>
      </c>
      <c r="C15" s="47" t="s">
        <v>129</v>
      </c>
    </row>
    <row r="16" ht="36" customHeight="1" spans="2:3" x14ac:dyDescent="0.25">
      <c r="B16" s="51" t="s">
        <v>33</v>
      </c>
      <c r="C16" s="47" t="s">
        <v>130</v>
      </c>
    </row>
    <row r="17" ht="36" customHeight="1" spans="2:3" x14ac:dyDescent="0.25">
      <c r="B17" s="51" t="s">
        <v>131</v>
      </c>
      <c r="C17" s="47" t="s">
        <v>132</v>
      </c>
    </row>
    <row r="18" ht="36" customHeight="1" spans="2:3" x14ac:dyDescent="0.25">
      <c r="B18" s="51" t="s">
        <v>133</v>
      </c>
      <c r="C18" s="47" t="s">
        <v>134</v>
      </c>
    </row>
    <row r="20" ht="28" customHeight="1" spans="2:3" x14ac:dyDescent="0.25">
      <c r="B20" s="50" t="s">
        <v>135</v>
      </c>
      <c r="C20"/>
    </row>
    <row r="21" ht="36" customHeight="1" spans="2:3" x14ac:dyDescent="0.25">
      <c r="B21" s="51" t="s">
        <v>67</v>
      </c>
      <c r="C21" s="47" t="s">
        <v>136</v>
      </c>
    </row>
    <row r="22" ht="36" customHeight="1" spans="2:3" x14ac:dyDescent="0.25">
      <c r="B22" s="51" t="s">
        <v>69</v>
      </c>
      <c r="C22" s="47" t="s">
        <v>137</v>
      </c>
    </row>
    <row r="23" ht="36" customHeight="1" spans="2:3" x14ac:dyDescent="0.25">
      <c r="B23" s="51" t="s">
        <v>71</v>
      </c>
      <c r="C23" s="47" t="s">
        <v>138</v>
      </c>
    </row>
    <row r="24" ht="36" customHeight="1" spans="2:3" x14ac:dyDescent="0.25">
      <c r="B24" s="51" t="s">
        <v>73</v>
      </c>
      <c r="C24" s="47" t="s">
        <v>139</v>
      </c>
    </row>
    <row r="26" ht="28" customHeight="1" spans="2:3" x14ac:dyDescent="0.25">
      <c r="B26" s="52" t="s">
        <v>140</v>
      </c>
      <c r="C26"/>
    </row>
    <row r="27" ht="36" customHeight="1" spans="2:3" x14ac:dyDescent="0.25">
      <c r="B27" s="53" t="s">
        <v>141</v>
      </c>
      <c r="C27" s="47" t="s">
        <v>142</v>
      </c>
    </row>
    <row r="28" ht="36" customHeight="1" spans="2:3" x14ac:dyDescent="0.25">
      <c r="B28" s="53" t="s">
        <v>143</v>
      </c>
      <c r="C28" s="47" t="s">
        <v>144</v>
      </c>
    </row>
    <row r="29" ht="36" customHeight="1" spans="2:3" x14ac:dyDescent="0.25">
      <c r="B29" s="53" t="s">
        <v>145</v>
      </c>
      <c r="C29" s="47" t="s">
        <v>146</v>
      </c>
    </row>
    <row r="30" ht="36" customHeight="1" spans="2:3" x14ac:dyDescent="0.25">
      <c r="B30" s="53" t="s">
        <v>147</v>
      </c>
      <c r="C30" s="47" t="s">
        <v>148</v>
      </c>
    </row>
    <row r="31" ht="36" customHeight="1" spans="2:3" x14ac:dyDescent="0.25">
      <c r="B31" s="53" t="s">
        <v>149</v>
      </c>
      <c r="C31" s="47" t="s">
        <v>150</v>
      </c>
    </row>
    <row r="33" ht="28" customHeight="1" spans="2:3" x14ac:dyDescent="0.25">
      <c r="B33" s="54" t="s">
        <v>151</v>
      </c>
      <c r="C33"/>
    </row>
    <row r="34" ht="36" customHeight="1" spans="2:3" x14ac:dyDescent="0.25">
      <c r="B34" s="55" t="s">
        <v>152</v>
      </c>
      <c r="C34" s="47" t="s">
        <v>153</v>
      </c>
    </row>
    <row r="35" ht="36" customHeight="1" spans="2:3" x14ac:dyDescent="0.25">
      <c r="B35" s="55" t="s">
        <v>154</v>
      </c>
      <c r="C35" s="47" t="s">
        <v>155</v>
      </c>
    </row>
    <row r="36" ht="36" customHeight="1" spans="2:3" x14ac:dyDescent="0.25">
      <c r="B36" s="55" t="s">
        <v>156</v>
      </c>
      <c r="C36" s="47" t="s">
        <v>157</v>
      </c>
    </row>
    <row r="37" ht="36" customHeight="1" spans="2:3" x14ac:dyDescent="0.25">
      <c r="B37" s="55" t="s">
        <v>158</v>
      </c>
      <c r="C37" s="47" t="s">
        <v>159</v>
      </c>
    </row>
  </sheetData>
  <mergeCells count="7">
    <mergeCell ref="B2:C2"/>
    <mergeCell ref="B4:C4"/>
    <mergeCell ref="B6:C6"/>
    <mergeCell ref="B13:C13"/>
    <mergeCell ref="B20:C20"/>
    <mergeCell ref="B26:C26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Ringkasan</vt:lpstr>
      <vt:lpstr>📋 Daftar Test Case</vt:lpstr>
      <vt:lpstr>🔍 Detail Langkah</vt:lpstr>
      <vt:lpstr>🐛 Bug &amp; Failure Log</vt:lpstr>
      <vt:lpstr>📖 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Hub</dc:creator>
  <cp:lastModifiedBy>Unknown</cp:lastModifiedBy>
  <dcterms:created xsi:type="dcterms:W3CDTF">2026-05-03T09:08:53Z</dcterms:created>
  <dcterms:modified xsi:type="dcterms:W3CDTF">2026-05-03T15:33:34Z</dcterms:modified>
</cp:coreProperties>
</file>